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hoh\OneDrive\Desktop\Foundry testing\"/>
    </mc:Choice>
  </mc:AlternateContent>
  <xr:revisionPtr revIDLastSave="0" documentId="13_ncr:1_{6C03ED99-5F48-4BFE-8309-67680EF935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ice Sheet" sheetId="1" r:id="rId1"/>
    <sheet name="Sales History" sheetId="2" r:id="rId2"/>
    <sheet name="Competitor Pricing" sheetId="3" r:id="rId3"/>
    <sheet name="CRM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3" l="1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<sst xmlns="http://schemas.openxmlformats.org/spreadsheetml/2006/main" count="292" uniqueCount="120">
  <si>
    <t>Item Code</t>
  </si>
  <si>
    <t>Item Name</t>
  </si>
  <si>
    <t>Category</t>
  </si>
  <si>
    <t>Unit</t>
  </si>
  <si>
    <t>List Price (RM)</t>
  </si>
  <si>
    <t>Min Order Qty</t>
  </si>
  <si>
    <t>Stock Qty</t>
  </si>
  <si>
    <t>Date Received</t>
  </si>
  <si>
    <t>Stock Age (Days)</t>
  </si>
  <si>
    <t>Age Bracket</t>
  </si>
  <si>
    <t>ITM-001</t>
  </si>
  <si>
    <t>Steel Bolt M10 x 50mm</t>
  </si>
  <si>
    <t>Fasteners</t>
  </si>
  <si>
    <t>piece</t>
  </si>
  <si>
    <t>Fresh (&lt;=30d)</t>
  </si>
  <si>
    <t>ITM-002</t>
  </si>
  <si>
    <t>PVC Pipe 25mm x 4m</t>
  </si>
  <si>
    <t>Piping</t>
  </si>
  <si>
    <t>length</t>
  </si>
  <si>
    <t>Normal (31-90d)</t>
  </si>
  <si>
    <t>ITM-003</t>
  </si>
  <si>
    <t>Electrical Cable 2.5mm (100m)</t>
  </si>
  <si>
    <t>Cables</t>
  </si>
  <si>
    <t>roll</t>
  </si>
  <si>
    <t>Aging (91-180d)</t>
  </si>
  <si>
    <t>ITM-004</t>
  </si>
  <si>
    <t>Cement Bag 50kg OPC</t>
  </si>
  <si>
    <t>Construction</t>
  </si>
  <si>
    <t>bag</t>
  </si>
  <si>
    <t>ITM-005</t>
  </si>
  <si>
    <t>Safety Helmet Type 1</t>
  </si>
  <si>
    <t>PPE</t>
  </si>
  <si>
    <t>ITM-006</t>
  </si>
  <si>
    <t>GI Wire 16 Gauge (25kg)</t>
  </si>
  <si>
    <t>Wire</t>
  </si>
  <si>
    <t>coil</t>
  </si>
  <si>
    <t>ITM-007</t>
  </si>
  <si>
    <t>Plywood 18mm 4x8</t>
  </si>
  <si>
    <t>Timber</t>
  </si>
  <si>
    <t>sheet</t>
  </si>
  <si>
    <t>Old Stock (&gt;180d)</t>
  </si>
  <si>
    <t>ITM-008</t>
  </si>
  <si>
    <t>Binding Wire 1kg</t>
  </si>
  <si>
    <t>kg</t>
  </si>
  <si>
    <t>Txn ID</t>
  </si>
  <si>
    <t>Date</t>
  </si>
  <si>
    <t>Customer ID</t>
  </si>
  <si>
    <t>Customer Name</t>
  </si>
  <si>
    <t>Qty Ordered</t>
  </si>
  <si>
    <t>Unit Price Given (RM)</t>
  </si>
  <si>
    <t>Discount %</t>
  </si>
  <si>
    <t>Total Value (RM)</t>
  </si>
  <si>
    <t>TXN-001</t>
  </si>
  <si>
    <t>CUS-001</t>
  </si>
  <si>
    <t>Bina Jaya Sdn Bhd</t>
  </si>
  <si>
    <t>TXN-002</t>
  </si>
  <si>
    <t>CUS-002</t>
  </si>
  <si>
    <t>Teguh Maju Trading</t>
  </si>
  <si>
    <t>TXN-003</t>
  </si>
  <si>
    <t>CUS-003</t>
  </si>
  <si>
    <t>KL Construction Works</t>
  </si>
  <si>
    <t>TXN-004</t>
  </si>
  <si>
    <t>CUS-004</t>
  </si>
  <si>
    <t>Maju Setia Builders</t>
  </si>
  <si>
    <t>TXN-005</t>
  </si>
  <si>
    <t>CUS-005</t>
  </si>
  <si>
    <t>Prima Bina Engineering</t>
  </si>
  <si>
    <t>TXN-006</t>
  </si>
  <si>
    <t>TXN-007</t>
  </si>
  <si>
    <t>TXN-008</t>
  </si>
  <si>
    <t>TXN-009</t>
  </si>
  <si>
    <t>CUS-006</t>
  </si>
  <si>
    <t>Syarikat Wira Teknik</t>
  </si>
  <si>
    <t>TXN-010</t>
  </si>
  <si>
    <t>CUS-007</t>
  </si>
  <si>
    <t>Eastern Star Projects</t>
  </si>
  <si>
    <t>TXN-011</t>
  </si>
  <si>
    <t>TXN-012</t>
  </si>
  <si>
    <t>TXN-013</t>
  </si>
  <si>
    <t>TXN-014</t>
  </si>
  <si>
    <t>TXN-015</t>
  </si>
  <si>
    <t>TXN-016</t>
  </si>
  <si>
    <t>TXN-017</t>
  </si>
  <si>
    <t>TXN-018</t>
  </si>
  <si>
    <t>TXN-019</t>
  </si>
  <si>
    <t>TXN-020</t>
  </si>
  <si>
    <t>TXN-021</t>
  </si>
  <si>
    <t>TXN-022</t>
  </si>
  <si>
    <t>TXN-023</t>
  </si>
  <si>
    <t>TXN-024</t>
  </si>
  <si>
    <t>TXN-025</t>
  </si>
  <si>
    <t>TXN-026</t>
  </si>
  <si>
    <t>TXN-027</t>
  </si>
  <si>
    <t>TXN-028</t>
  </si>
  <si>
    <t>TXN-029</t>
  </si>
  <si>
    <t>Our List Price (RM)</t>
  </si>
  <si>
    <t>Comp A Price (RM)</t>
  </si>
  <si>
    <t>Comp B Price (RM)</t>
  </si>
  <si>
    <t>Comp C Price (RM)</t>
  </si>
  <si>
    <t>Market Low (RM)</t>
  </si>
  <si>
    <t>Market High (RM)</t>
  </si>
  <si>
    <t>Loyalty Tier</t>
  </si>
  <si>
    <t>Avg Monthly Spend (RM)</t>
  </si>
  <si>
    <t>Txn Count (12M)</t>
  </si>
  <si>
    <t>Price Sensitivity</t>
  </si>
  <si>
    <t>Preferred Category</t>
  </si>
  <si>
    <t>Avg Discount Requested %</t>
  </si>
  <si>
    <t>On-Time Payment %</t>
  </si>
  <si>
    <t>Credit Limit (RM)</t>
  </si>
  <si>
    <t>Account Manager</t>
  </si>
  <si>
    <t>Contractor</t>
  </si>
  <si>
    <t>Medium</t>
  </si>
  <si>
    <t>Ahmad Faris</t>
  </si>
  <si>
    <t>Distributor</t>
  </si>
  <si>
    <t>Low</t>
  </si>
  <si>
    <t>Nurul Ain</t>
  </si>
  <si>
    <t>High</t>
  </si>
  <si>
    <t>Developer</t>
  </si>
  <si>
    <t>Raj Kumar</t>
  </si>
  <si>
    <t>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</si>
</sst>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defaultColWidth="8.6640625" defaultRowHeight="14.4" x14ac:dyDescent="0.3"/>
  <cols>
    <col min="1" max="1" width="13" customWidth="1"/>
    <col min="2" max="2" width="28" customWidth="1"/>
    <col min="3" max="3" width="16" customWidth="1"/>
    <col min="4" max="4" width="8" customWidth="1"/>
    <col min="5" max="5" width="16" customWidth="1"/>
    <col min="6" max="6" width="14" customWidth="1"/>
    <col min="7" max="7" width="11" customWidth="1"/>
    <col min="8" max="8" width="16" customWidth="1"/>
    <col min="9" max="9" width="18" customWidth="1"/>
    <col min="10" max="10" width="14" customWidth="1"/>
  </cols>
  <sheetData>
    <row r="1" spans="1:10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4" t="s">
        <v>12</v>
      </c>
      <c r="D2" s="4" t="s">
        <v>13</v>
      </c>
      <c r="E2" s="2">
        <v>0.8</v>
      </c>
      <c r="F2" s="5">
        <v>100</v>
      </c>
      <c r="G2" s="5">
        <v>8500</v>
      </c>
      <c r="H2" s="6">
        <v>46071</v>
      </c>
      <c r="I2" s="7">
        <f t="shared" ref="I2:I9" ca="1" si="0">TODAY()-H2</f>
        <v>18</v>
      </c>
      <c r="J2" s="4" t="s">
        <v>14</v>
      </c>
    </row>
    <row r="3" spans="1:10" ht="26.4" x14ac:dyDescent="0.3">
      <c r="A3" s="8" t="s">
        <v>15</v>
      </c>
      <c r="B3" s="9" t="s">
        <v>16</v>
      </c>
      <c r="C3" s="10" t="s">
        <v>17</v>
      </c>
      <c r="D3" s="10" t="s">
        <v>18</v>
      </c>
      <c r="E3" s="8">
        <v>18.5</v>
      </c>
      <c r="F3" s="11">
        <v>10</v>
      </c>
      <c r="G3" s="11">
        <v>320</v>
      </c>
      <c r="H3" s="12">
        <v>46044</v>
      </c>
      <c r="I3" s="13">
        <f t="shared" ca="1" si="0"/>
        <v>45</v>
      </c>
      <c r="J3" s="10" t="s">
        <v>19</v>
      </c>
    </row>
    <row r="4" spans="1:10" ht="26.4" x14ac:dyDescent="0.3">
      <c r="A4" s="2" t="s">
        <v>20</v>
      </c>
      <c r="B4" s="3" t="s">
        <v>21</v>
      </c>
      <c r="C4" s="4" t="s">
        <v>22</v>
      </c>
      <c r="D4" s="4" t="s">
        <v>23</v>
      </c>
      <c r="E4" s="2">
        <v>85</v>
      </c>
      <c r="F4" s="5">
        <v>5</v>
      </c>
      <c r="G4" s="5">
        <v>75</v>
      </c>
      <c r="H4" s="6">
        <v>45997</v>
      </c>
      <c r="I4" s="7">
        <f t="shared" ca="1" si="0"/>
        <v>92</v>
      </c>
      <c r="J4" s="4" t="s">
        <v>24</v>
      </c>
    </row>
    <row r="5" spans="1:10" x14ac:dyDescent="0.3">
      <c r="A5" s="8" t="s">
        <v>25</v>
      </c>
      <c r="B5" s="9" t="s">
        <v>26</v>
      </c>
      <c r="C5" s="10" t="s">
        <v>27</v>
      </c>
      <c r="D5" s="10" t="s">
        <v>28</v>
      </c>
      <c r="E5" s="8">
        <v>22</v>
      </c>
      <c r="F5" s="11">
        <v>20</v>
      </c>
      <c r="G5" s="11">
        <v>1200</v>
      </c>
      <c r="H5" s="12">
        <v>46077</v>
      </c>
      <c r="I5" s="13">
        <f t="shared" ca="1" si="0"/>
        <v>12</v>
      </c>
      <c r="J5" s="10" t="s">
        <v>14</v>
      </c>
    </row>
    <row r="6" spans="1:10" ht="26.4" x14ac:dyDescent="0.3">
      <c r="A6" s="2" t="s">
        <v>29</v>
      </c>
      <c r="B6" s="3" t="s">
        <v>30</v>
      </c>
      <c r="C6" s="4" t="s">
        <v>31</v>
      </c>
      <c r="D6" s="4" t="s">
        <v>13</v>
      </c>
      <c r="E6" s="2">
        <v>12.5</v>
      </c>
      <c r="F6" s="5">
        <v>10</v>
      </c>
      <c r="G6" s="5">
        <v>430</v>
      </c>
      <c r="H6" s="6">
        <v>46028</v>
      </c>
      <c r="I6" s="7">
        <f t="shared" ca="1" si="0"/>
        <v>61</v>
      </c>
      <c r="J6" s="4" t="s">
        <v>19</v>
      </c>
    </row>
    <row r="7" spans="1:10" ht="26.4" x14ac:dyDescent="0.3">
      <c r="A7" s="8" t="s">
        <v>32</v>
      </c>
      <c r="B7" s="9" t="s">
        <v>33</v>
      </c>
      <c r="C7" s="10" t="s">
        <v>34</v>
      </c>
      <c r="D7" s="10" t="s">
        <v>35</v>
      </c>
      <c r="E7" s="8">
        <v>68</v>
      </c>
      <c r="F7" s="11">
        <v>5</v>
      </c>
      <c r="G7" s="11">
        <v>150</v>
      </c>
      <c r="H7" s="12">
        <v>45954</v>
      </c>
      <c r="I7" s="13">
        <f t="shared" ca="1" si="0"/>
        <v>135</v>
      </c>
      <c r="J7" s="10" t="s">
        <v>24</v>
      </c>
    </row>
    <row r="8" spans="1:10" ht="26.4" x14ac:dyDescent="0.3">
      <c r="A8" s="2" t="s">
        <v>36</v>
      </c>
      <c r="B8" s="3" t="s">
        <v>37</v>
      </c>
      <c r="C8" s="4" t="s">
        <v>38</v>
      </c>
      <c r="D8" s="4" t="s">
        <v>39</v>
      </c>
      <c r="E8" s="2">
        <v>55</v>
      </c>
      <c r="F8" s="5">
        <v>5</v>
      </c>
      <c r="G8" s="5">
        <v>210</v>
      </c>
      <c r="H8" s="6">
        <v>45879</v>
      </c>
      <c r="I8" s="7">
        <f t="shared" ca="1" si="0"/>
        <v>210</v>
      </c>
      <c r="J8" s="4" t="s">
        <v>40</v>
      </c>
    </row>
    <row r="9" spans="1:10" x14ac:dyDescent="0.3">
      <c r="A9" s="8" t="s">
        <v>41</v>
      </c>
      <c r="B9" s="9" t="s">
        <v>42</v>
      </c>
      <c r="C9" s="10" t="s">
        <v>43</v>
      </c>
      <c r="D9" s="10" t="s">
        <v>43</v>
      </c>
      <c r="E9" s="8">
        <v>4.5</v>
      </c>
      <c r="F9" s="11">
        <v>50</v>
      </c>
      <c r="G9" s="11">
        <v>3200</v>
      </c>
      <c r="H9" s="12">
        <v>46082</v>
      </c>
      <c r="I9" s="13">
        <f t="shared" ca="1" si="0"/>
        <v>7</v>
      </c>
      <c r="J9" s="10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0" customWidth="1"/>
    <col min="2" max="3" width="12" customWidth="1"/>
    <col min="4" max="4" width="25" customWidth="1"/>
    <col min="5" max="5" width="12" customWidth="1"/>
    <col min="6" max="6" width="30" customWidth="1"/>
    <col min="7" max="7" width="14" customWidth="1"/>
    <col min="8" max="8" width="20" customWidth="1"/>
    <col min="9" max="9" width="18" customWidth="1"/>
    <col min="10" max="10" width="12" customWidth="1"/>
    <col min="11" max="11" width="16" customWidth="1"/>
  </cols>
  <sheetData>
    <row r="1" spans="1:11" ht="15" customHeight="1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1</v>
      </c>
      <c r="G1" s="1" t="s">
        <v>48</v>
      </c>
      <c r="H1" s="1" t="s">
        <v>49</v>
      </c>
      <c r="I1" s="1" t="s">
        <v>4</v>
      </c>
      <c r="J1" s="1" t="s">
        <v>50</v>
      </c>
      <c r="K1" s="1" t="s">
        <v>51</v>
      </c>
    </row>
    <row r="2" spans="1:11" ht="15" customHeight="1" x14ac:dyDescent="0.3">
      <c r="A2" s="14" t="s">
        <v>52</v>
      </c>
      <c r="B2" s="15">
        <v>45710</v>
      </c>
      <c r="C2" s="14" t="s">
        <v>53</v>
      </c>
      <c r="D2" s="9" t="s">
        <v>54</v>
      </c>
      <c r="E2" s="14" t="s">
        <v>10</v>
      </c>
      <c r="F2" s="9" t="s">
        <v>11</v>
      </c>
      <c r="G2" s="16">
        <v>500</v>
      </c>
      <c r="H2" s="14">
        <v>0.72</v>
      </c>
      <c r="I2" s="17">
        <v>0.8</v>
      </c>
      <c r="J2" s="18">
        <v>0.1</v>
      </c>
      <c r="K2" s="19">
        <f t="shared" ref="K2:K30" si="0">G2*H2</f>
        <v>360</v>
      </c>
    </row>
    <row r="3" spans="1:11" ht="15" customHeight="1" x14ac:dyDescent="0.3">
      <c r="A3" s="20" t="s">
        <v>55</v>
      </c>
      <c r="B3" s="21">
        <v>45440</v>
      </c>
      <c r="C3" s="20" t="s">
        <v>56</v>
      </c>
      <c r="D3" s="3" t="s">
        <v>57</v>
      </c>
      <c r="E3" s="20" t="s">
        <v>10</v>
      </c>
      <c r="F3" s="3" t="s">
        <v>11</v>
      </c>
      <c r="G3" s="22">
        <v>1000</v>
      </c>
      <c r="H3" s="20">
        <v>0.68</v>
      </c>
      <c r="I3" s="23">
        <v>0.8</v>
      </c>
      <c r="J3" s="24">
        <v>0.15</v>
      </c>
      <c r="K3" s="25">
        <f t="shared" si="0"/>
        <v>680</v>
      </c>
    </row>
    <row r="4" spans="1:11" ht="15" customHeight="1" x14ac:dyDescent="0.3">
      <c r="A4" s="14" t="s">
        <v>58</v>
      </c>
      <c r="B4" s="15">
        <v>45395</v>
      </c>
      <c r="C4" s="14" t="s">
        <v>59</v>
      </c>
      <c r="D4" s="9" t="s">
        <v>60</v>
      </c>
      <c r="E4" s="14" t="s">
        <v>10</v>
      </c>
      <c r="F4" s="9" t="s">
        <v>11</v>
      </c>
      <c r="G4" s="16">
        <v>200</v>
      </c>
      <c r="H4" s="14">
        <v>0.76</v>
      </c>
      <c r="I4" s="17">
        <v>0.8</v>
      </c>
      <c r="J4" s="18">
        <v>0.05</v>
      </c>
      <c r="K4" s="19">
        <f t="shared" si="0"/>
        <v>152</v>
      </c>
    </row>
    <row r="5" spans="1:11" ht="15" customHeight="1" x14ac:dyDescent="0.3">
      <c r="A5" s="20" t="s">
        <v>61</v>
      </c>
      <c r="B5" s="21">
        <v>45523</v>
      </c>
      <c r="C5" s="20" t="s">
        <v>62</v>
      </c>
      <c r="D5" s="3" t="s">
        <v>63</v>
      </c>
      <c r="E5" s="20" t="s">
        <v>10</v>
      </c>
      <c r="F5" s="3" t="s">
        <v>11</v>
      </c>
      <c r="G5" s="22">
        <v>5000</v>
      </c>
      <c r="H5" s="20">
        <v>0.64</v>
      </c>
      <c r="I5" s="23">
        <v>0.8</v>
      </c>
      <c r="J5" s="24">
        <v>0.2</v>
      </c>
      <c r="K5" s="25">
        <f t="shared" si="0"/>
        <v>3200</v>
      </c>
    </row>
    <row r="6" spans="1:11" ht="15" customHeight="1" x14ac:dyDescent="0.3">
      <c r="A6" s="14" t="s">
        <v>64</v>
      </c>
      <c r="B6" s="15">
        <v>45508</v>
      </c>
      <c r="C6" s="14" t="s">
        <v>65</v>
      </c>
      <c r="D6" s="9" t="s">
        <v>66</v>
      </c>
      <c r="E6" s="14" t="s">
        <v>10</v>
      </c>
      <c r="F6" s="9" t="s">
        <v>11</v>
      </c>
      <c r="G6" s="16">
        <v>300</v>
      </c>
      <c r="H6" s="14">
        <v>0.74</v>
      </c>
      <c r="I6" s="17">
        <v>0.8</v>
      </c>
      <c r="J6" s="18">
        <v>7.5000000000000094E-2</v>
      </c>
      <c r="K6" s="19">
        <f t="shared" si="0"/>
        <v>222</v>
      </c>
    </row>
    <row r="7" spans="1:11" ht="15" customHeight="1" x14ac:dyDescent="0.3">
      <c r="A7" s="20" t="s">
        <v>67</v>
      </c>
      <c r="B7" s="21">
        <v>45497</v>
      </c>
      <c r="C7" s="20" t="s">
        <v>53</v>
      </c>
      <c r="D7" s="3" t="s">
        <v>54</v>
      </c>
      <c r="E7" s="20" t="s">
        <v>25</v>
      </c>
      <c r="F7" s="3" t="s">
        <v>26</v>
      </c>
      <c r="G7" s="22">
        <v>100</v>
      </c>
      <c r="H7" s="20">
        <v>20</v>
      </c>
      <c r="I7" s="23">
        <v>22</v>
      </c>
      <c r="J7" s="24">
        <v>9.0909090909090898E-2</v>
      </c>
      <c r="K7" s="25">
        <f t="shared" si="0"/>
        <v>2000</v>
      </c>
    </row>
    <row r="8" spans="1:11" ht="15" customHeight="1" x14ac:dyDescent="0.3">
      <c r="A8" s="14" t="s">
        <v>68</v>
      </c>
      <c r="B8" s="15">
        <v>45454</v>
      </c>
      <c r="C8" s="14" t="s">
        <v>56</v>
      </c>
      <c r="D8" s="9" t="s">
        <v>57</v>
      </c>
      <c r="E8" s="14" t="s">
        <v>25</v>
      </c>
      <c r="F8" s="9" t="s">
        <v>26</v>
      </c>
      <c r="G8" s="16">
        <v>500</v>
      </c>
      <c r="H8" s="14">
        <v>18.5</v>
      </c>
      <c r="I8" s="17">
        <v>22</v>
      </c>
      <c r="J8" s="18">
        <v>0.15909090909090901</v>
      </c>
      <c r="K8" s="19">
        <f t="shared" si="0"/>
        <v>9250</v>
      </c>
    </row>
    <row r="9" spans="1:11" ht="15" customHeight="1" x14ac:dyDescent="0.3">
      <c r="A9" s="20" t="s">
        <v>69</v>
      </c>
      <c r="B9" s="21">
        <v>45435</v>
      </c>
      <c r="C9" s="20" t="s">
        <v>59</v>
      </c>
      <c r="D9" s="3" t="s">
        <v>60</v>
      </c>
      <c r="E9" s="20" t="s">
        <v>25</v>
      </c>
      <c r="F9" s="3" t="s">
        <v>26</v>
      </c>
      <c r="G9" s="22">
        <v>1000</v>
      </c>
      <c r="H9" s="20">
        <v>17.8</v>
      </c>
      <c r="I9" s="23">
        <v>22</v>
      </c>
      <c r="J9" s="24">
        <v>0.190909090909091</v>
      </c>
      <c r="K9" s="25">
        <f t="shared" si="0"/>
        <v>17800</v>
      </c>
    </row>
    <row r="10" spans="1:11" ht="15" customHeight="1" x14ac:dyDescent="0.3">
      <c r="A10" s="14" t="s">
        <v>70</v>
      </c>
      <c r="B10" s="15">
        <v>45662</v>
      </c>
      <c r="C10" s="14" t="s">
        <v>71</v>
      </c>
      <c r="D10" s="9" t="s">
        <v>72</v>
      </c>
      <c r="E10" s="14" t="s">
        <v>25</v>
      </c>
      <c r="F10" s="9" t="s">
        <v>26</v>
      </c>
      <c r="G10" s="16">
        <v>200</v>
      </c>
      <c r="H10" s="14">
        <v>19.5</v>
      </c>
      <c r="I10" s="17">
        <v>22</v>
      </c>
      <c r="J10" s="18">
        <v>0.11363636363636399</v>
      </c>
      <c r="K10" s="19">
        <f t="shared" si="0"/>
        <v>3900</v>
      </c>
    </row>
    <row r="11" spans="1:11" ht="15" customHeight="1" x14ac:dyDescent="0.3">
      <c r="A11" s="20" t="s">
        <v>73</v>
      </c>
      <c r="B11" s="21">
        <v>45427</v>
      </c>
      <c r="C11" s="20" t="s">
        <v>74</v>
      </c>
      <c r="D11" s="3" t="s">
        <v>75</v>
      </c>
      <c r="E11" s="20" t="s">
        <v>25</v>
      </c>
      <c r="F11" s="3" t="s">
        <v>26</v>
      </c>
      <c r="G11" s="22">
        <v>2000</v>
      </c>
      <c r="H11" s="20">
        <v>17.2</v>
      </c>
      <c r="I11" s="23">
        <v>22</v>
      </c>
      <c r="J11" s="24">
        <v>0.218181818181818</v>
      </c>
      <c r="K11" s="25">
        <f t="shared" si="0"/>
        <v>34400</v>
      </c>
    </row>
    <row r="12" spans="1:11" ht="15" customHeight="1" x14ac:dyDescent="0.3">
      <c r="A12" s="14" t="s">
        <v>76</v>
      </c>
      <c r="B12" s="15">
        <v>45685</v>
      </c>
      <c r="C12" s="14" t="s">
        <v>53</v>
      </c>
      <c r="D12" s="9" t="s">
        <v>54</v>
      </c>
      <c r="E12" s="14" t="s">
        <v>15</v>
      </c>
      <c r="F12" s="9" t="s">
        <v>16</v>
      </c>
      <c r="G12" s="16">
        <v>50</v>
      </c>
      <c r="H12" s="14">
        <v>17.5</v>
      </c>
      <c r="I12" s="17">
        <v>18.5</v>
      </c>
      <c r="J12" s="18">
        <v>5.4054054054054099E-2</v>
      </c>
      <c r="K12" s="19">
        <f t="shared" si="0"/>
        <v>875</v>
      </c>
    </row>
    <row r="13" spans="1:11" ht="15" customHeight="1" x14ac:dyDescent="0.3">
      <c r="A13" s="20" t="s">
        <v>77</v>
      </c>
      <c r="B13" s="21">
        <v>45599</v>
      </c>
      <c r="C13" s="20" t="s">
        <v>56</v>
      </c>
      <c r="D13" s="3" t="s">
        <v>57</v>
      </c>
      <c r="E13" s="20" t="s">
        <v>15</v>
      </c>
      <c r="F13" s="3" t="s">
        <v>16</v>
      </c>
      <c r="G13" s="22">
        <v>100</v>
      </c>
      <c r="H13" s="20">
        <v>16.8</v>
      </c>
      <c r="I13" s="23">
        <v>18.5</v>
      </c>
      <c r="J13" s="24">
        <v>9.1891891891891897E-2</v>
      </c>
      <c r="K13" s="25">
        <f t="shared" si="0"/>
        <v>1680</v>
      </c>
    </row>
    <row r="14" spans="1:11" ht="15" customHeight="1" x14ac:dyDescent="0.3">
      <c r="A14" s="14" t="s">
        <v>78</v>
      </c>
      <c r="B14" s="15">
        <v>45399</v>
      </c>
      <c r="C14" s="14" t="s">
        <v>62</v>
      </c>
      <c r="D14" s="9" t="s">
        <v>63</v>
      </c>
      <c r="E14" s="14" t="s">
        <v>15</v>
      </c>
      <c r="F14" s="9" t="s">
        <v>16</v>
      </c>
      <c r="G14" s="16">
        <v>200</v>
      </c>
      <c r="H14" s="14">
        <v>16.2</v>
      </c>
      <c r="I14" s="17">
        <v>18.5</v>
      </c>
      <c r="J14" s="18">
        <v>0.124324324324324</v>
      </c>
      <c r="K14" s="19">
        <f t="shared" si="0"/>
        <v>3240</v>
      </c>
    </row>
    <row r="15" spans="1:11" ht="15" customHeight="1" x14ac:dyDescent="0.3">
      <c r="A15" s="20" t="s">
        <v>79</v>
      </c>
      <c r="B15" s="21">
        <v>45398</v>
      </c>
      <c r="C15" s="20" t="s">
        <v>65</v>
      </c>
      <c r="D15" s="3" t="s">
        <v>66</v>
      </c>
      <c r="E15" s="20" t="s">
        <v>15</v>
      </c>
      <c r="F15" s="3" t="s">
        <v>16</v>
      </c>
      <c r="G15" s="22">
        <v>30</v>
      </c>
      <c r="H15" s="20">
        <v>17.8</v>
      </c>
      <c r="I15" s="23">
        <v>18.5</v>
      </c>
      <c r="J15" s="24">
        <v>3.7837837837837798E-2</v>
      </c>
      <c r="K15" s="25">
        <f t="shared" si="0"/>
        <v>534</v>
      </c>
    </row>
    <row r="16" spans="1:11" ht="15" customHeight="1" x14ac:dyDescent="0.3">
      <c r="A16" s="14" t="s">
        <v>80</v>
      </c>
      <c r="B16" s="15">
        <v>45430</v>
      </c>
      <c r="C16" s="14" t="s">
        <v>59</v>
      </c>
      <c r="D16" s="9" t="s">
        <v>60</v>
      </c>
      <c r="E16" s="14" t="s">
        <v>20</v>
      </c>
      <c r="F16" s="9" t="s">
        <v>21</v>
      </c>
      <c r="G16" s="16">
        <v>10</v>
      </c>
      <c r="H16" s="14">
        <v>80</v>
      </c>
      <c r="I16" s="17">
        <v>85</v>
      </c>
      <c r="J16" s="18">
        <v>5.8823529411764698E-2</v>
      </c>
      <c r="K16" s="19">
        <f t="shared" si="0"/>
        <v>800</v>
      </c>
    </row>
    <row r="17" spans="1:11" ht="15" customHeight="1" x14ac:dyDescent="0.3">
      <c r="A17" s="20" t="s">
        <v>81</v>
      </c>
      <c r="B17" s="21">
        <v>45494</v>
      </c>
      <c r="C17" s="20" t="s">
        <v>71</v>
      </c>
      <c r="D17" s="3" t="s">
        <v>72</v>
      </c>
      <c r="E17" s="20" t="s">
        <v>20</v>
      </c>
      <c r="F17" s="3" t="s">
        <v>21</v>
      </c>
      <c r="G17" s="22">
        <v>25</v>
      </c>
      <c r="H17" s="20">
        <v>78</v>
      </c>
      <c r="I17" s="23">
        <v>85</v>
      </c>
      <c r="J17" s="24">
        <v>8.2352941176470601E-2</v>
      </c>
      <c r="K17" s="25">
        <f t="shared" si="0"/>
        <v>1950</v>
      </c>
    </row>
    <row r="18" spans="1:11" ht="15" customHeight="1" x14ac:dyDescent="0.3">
      <c r="A18" s="14" t="s">
        <v>82</v>
      </c>
      <c r="B18" s="15">
        <v>45502</v>
      </c>
      <c r="C18" s="14" t="s">
        <v>74</v>
      </c>
      <c r="D18" s="9" t="s">
        <v>75</v>
      </c>
      <c r="E18" s="14" t="s">
        <v>20</v>
      </c>
      <c r="F18" s="9" t="s">
        <v>21</v>
      </c>
      <c r="G18" s="16">
        <v>50</v>
      </c>
      <c r="H18" s="14">
        <v>76.5</v>
      </c>
      <c r="I18" s="17">
        <v>85</v>
      </c>
      <c r="J18" s="18">
        <v>0.1</v>
      </c>
      <c r="K18" s="19">
        <f t="shared" si="0"/>
        <v>3825</v>
      </c>
    </row>
    <row r="19" spans="1:11" ht="15" customHeight="1" x14ac:dyDescent="0.3">
      <c r="A19" s="20" t="s">
        <v>83</v>
      </c>
      <c r="B19" s="21">
        <v>45641</v>
      </c>
      <c r="C19" s="20" t="s">
        <v>53</v>
      </c>
      <c r="D19" s="3" t="s">
        <v>54</v>
      </c>
      <c r="E19" s="20" t="s">
        <v>29</v>
      </c>
      <c r="F19" s="3" t="s">
        <v>30</v>
      </c>
      <c r="G19" s="22">
        <v>50</v>
      </c>
      <c r="H19" s="20">
        <v>11.5</v>
      </c>
      <c r="I19" s="23">
        <v>12.5</v>
      </c>
      <c r="J19" s="24">
        <v>0.08</v>
      </c>
      <c r="K19" s="25">
        <f t="shared" si="0"/>
        <v>575</v>
      </c>
    </row>
    <row r="20" spans="1:11" ht="15" customHeight="1" x14ac:dyDescent="0.3">
      <c r="A20" s="14" t="s">
        <v>84</v>
      </c>
      <c r="B20" s="15">
        <v>45691</v>
      </c>
      <c r="C20" s="14" t="s">
        <v>56</v>
      </c>
      <c r="D20" s="9" t="s">
        <v>57</v>
      </c>
      <c r="E20" s="14" t="s">
        <v>29</v>
      </c>
      <c r="F20" s="9" t="s">
        <v>30</v>
      </c>
      <c r="G20" s="16">
        <v>100</v>
      </c>
      <c r="H20" s="14">
        <v>11</v>
      </c>
      <c r="I20" s="17">
        <v>12.5</v>
      </c>
      <c r="J20" s="18">
        <v>0.12</v>
      </c>
      <c r="K20" s="19">
        <f t="shared" si="0"/>
        <v>1100</v>
      </c>
    </row>
    <row r="21" spans="1:11" ht="15" customHeight="1" x14ac:dyDescent="0.3">
      <c r="A21" s="20" t="s">
        <v>85</v>
      </c>
      <c r="B21" s="21">
        <v>45396</v>
      </c>
      <c r="C21" s="20" t="s">
        <v>62</v>
      </c>
      <c r="D21" s="3" t="s">
        <v>63</v>
      </c>
      <c r="E21" s="20" t="s">
        <v>29</v>
      </c>
      <c r="F21" s="3" t="s">
        <v>30</v>
      </c>
      <c r="G21" s="22">
        <v>200</v>
      </c>
      <c r="H21" s="20">
        <v>10.5</v>
      </c>
      <c r="I21" s="23">
        <v>12.5</v>
      </c>
      <c r="J21" s="24">
        <v>0.16</v>
      </c>
      <c r="K21" s="25">
        <f t="shared" si="0"/>
        <v>2100</v>
      </c>
    </row>
    <row r="22" spans="1:11" ht="15" customHeight="1" x14ac:dyDescent="0.3">
      <c r="A22" s="14" t="s">
        <v>86</v>
      </c>
      <c r="B22" s="15">
        <v>45670</v>
      </c>
      <c r="C22" s="14" t="s">
        <v>59</v>
      </c>
      <c r="D22" s="9" t="s">
        <v>60</v>
      </c>
      <c r="E22" s="14" t="s">
        <v>32</v>
      </c>
      <c r="F22" s="9" t="s">
        <v>33</v>
      </c>
      <c r="G22" s="16">
        <v>10</v>
      </c>
      <c r="H22" s="14">
        <v>64</v>
      </c>
      <c r="I22" s="17">
        <v>68</v>
      </c>
      <c r="J22" s="18">
        <v>5.8823529411764698E-2</v>
      </c>
      <c r="K22" s="19">
        <f t="shared" si="0"/>
        <v>640</v>
      </c>
    </row>
    <row r="23" spans="1:11" ht="15" customHeight="1" x14ac:dyDescent="0.3">
      <c r="A23" s="20" t="s">
        <v>87</v>
      </c>
      <c r="B23" s="21">
        <v>45484</v>
      </c>
      <c r="C23" s="20" t="s">
        <v>65</v>
      </c>
      <c r="D23" s="3" t="s">
        <v>66</v>
      </c>
      <c r="E23" s="20" t="s">
        <v>32</v>
      </c>
      <c r="F23" s="3" t="s">
        <v>33</v>
      </c>
      <c r="G23" s="22">
        <v>20</v>
      </c>
      <c r="H23" s="20">
        <v>61.5</v>
      </c>
      <c r="I23" s="23">
        <v>68</v>
      </c>
      <c r="J23" s="24">
        <v>9.5588235294117599E-2</v>
      </c>
      <c r="K23" s="25">
        <f t="shared" si="0"/>
        <v>1230</v>
      </c>
    </row>
    <row r="24" spans="1:11" ht="15" customHeight="1" x14ac:dyDescent="0.3">
      <c r="A24" s="14" t="s">
        <v>88</v>
      </c>
      <c r="B24" s="15">
        <v>45662</v>
      </c>
      <c r="C24" s="14" t="s">
        <v>74</v>
      </c>
      <c r="D24" s="9" t="s">
        <v>75</v>
      </c>
      <c r="E24" s="14" t="s">
        <v>32</v>
      </c>
      <c r="F24" s="9" t="s">
        <v>33</v>
      </c>
      <c r="G24" s="16">
        <v>40</v>
      </c>
      <c r="H24" s="14">
        <v>59</v>
      </c>
      <c r="I24" s="17">
        <v>68</v>
      </c>
      <c r="J24" s="18">
        <v>0.13235294117647101</v>
      </c>
      <c r="K24" s="19">
        <f t="shared" si="0"/>
        <v>2360</v>
      </c>
    </row>
    <row r="25" spans="1:11" ht="15" customHeight="1" x14ac:dyDescent="0.3">
      <c r="A25" s="20" t="s">
        <v>89</v>
      </c>
      <c r="B25" s="21">
        <v>45597</v>
      </c>
      <c r="C25" s="20" t="s">
        <v>53</v>
      </c>
      <c r="D25" s="3" t="s">
        <v>54</v>
      </c>
      <c r="E25" s="20" t="s">
        <v>36</v>
      </c>
      <c r="F25" s="3" t="s">
        <v>37</v>
      </c>
      <c r="G25" s="22">
        <v>20</v>
      </c>
      <c r="H25" s="20">
        <v>52</v>
      </c>
      <c r="I25" s="23">
        <v>55</v>
      </c>
      <c r="J25" s="24">
        <v>5.4545454545454501E-2</v>
      </c>
      <c r="K25" s="25">
        <f t="shared" si="0"/>
        <v>1040</v>
      </c>
    </row>
    <row r="26" spans="1:11" ht="15" customHeight="1" x14ac:dyDescent="0.3">
      <c r="A26" s="14" t="s">
        <v>90</v>
      </c>
      <c r="B26" s="15">
        <v>45495</v>
      </c>
      <c r="C26" s="14" t="s">
        <v>56</v>
      </c>
      <c r="D26" s="9" t="s">
        <v>57</v>
      </c>
      <c r="E26" s="14" t="s">
        <v>36</v>
      </c>
      <c r="F26" s="9" t="s">
        <v>37</v>
      </c>
      <c r="G26" s="16">
        <v>50</v>
      </c>
      <c r="H26" s="14">
        <v>50</v>
      </c>
      <c r="I26" s="17">
        <v>55</v>
      </c>
      <c r="J26" s="18">
        <v>9.0909090909090898E-2</v>
      </c>
      <c r="K26" s="19">
        <f t="shared" si="0"/>
        <v>2500</v>
      </c>
    </row>
    <row r="27" spans="1:11" ht="15" customHeight="1" x14ac:dyDescent="0.3">
      <c r="A27" s="20" t="s">
        <v>91</v>
      </c>
      <c r="B27" s="21">
        <v>45612</v>
      </c>
      <c r="C27" s="20" t="s">
        <v>71</v>
      </c>
      <c r="D27" s="3" t="s">
        <v>72</v>
      </c>
      <c r="E27" s="20" t="s">
        <v>36</v>
      </c>
      <c r="F27" s="3" t="s">
        <v>37</v>
      </c>
      <c r="G27" s="22">
        <v>10</v>
      </c>
      <c r="H27" s="20">
        <v>53</v>
      </c>
      <c r="I27" s="23">
        <v>55</v>
      </c>
      <c r="J27" s="24">
        <v>3.6363636363636397E-2</v>
      </c>
      <c r="K27" s="25">
        <f t="shared" si="0"/>
        <v>530</v>
      </c>
    </row>
    <row r="28" spans="1:11" ht="15" customHeight="1" x14ac:dyDescent="0.3">
      <c r="A28" s="14" t="s">
        <v>92</v>
      </c>
      <c r="B28" s="15">
        <v>45684</v>
      </c>
      <c r="C28" s="14" t="s">
        <v>59</v>
      </c>
      <c r="D28" s="9" t="s">
        <v>60</v>
      </c>
      <c r="E28" s="14" t="s">
        <v>41</v>
      </c>
      <c r="F28" s="9" t="s">
        <v>42</v>
      </c>
      <c r="G28" s="16">
        <v>200</v>
      </c>
      <c r="H28" s="14">
        <v>4</v>
      </c>
      <c r="I28" s="17">
        <v>4.5</v>
      </c>
      <c r="J28" s="18">
        <v>0.11111111111111099</v>
      </c>
      <c r="K28" s="19">
        <f t="shared" si="0"/>
        <v>800</v>
      </c>
    </row>
    <row r="29" spans="1:11" ht="15" customHeight="1" x14ac:dyDescent="0.3">
      <c r="A29" s="20" t="s">
        <v>93</v>
      </c>
      <c r="B29" s="21">
        <v>45525</v>
      </c>
      <c r="C29" s="20" t="s">
        <v>62</v>
      </c>
      <c r="D29" s="3" t="s">
        <v>63</v>
      </c>
      <c r="E29" s="20" t="s">
        <v>41</v>
      </c>
      <c r="F29" s="3" t="s">
        <v>42</v>
      </c>
      <c r="G29" s="22">
        <v>500</v>
      </c>
      <c r="H29" s="20">
        <v>3.8</v>
      </c>
      <c r="I29" s="23">
        <v>4.5</v>
      </c>
      <c r="J29" s="24">
        <v>0.155555555555556</v>
      </c>
      <c r="K29" s="25">
        <f t="shared" si="0"/>
        <v>1900</v>
      </c>
    </row>
    <row r="30" spans="1:11" ht="15" customHeight="1" x14ac:dyDescent="0.3">
      <c r="A30" s="14" t="s">
        <v>94</v>
      </c>
      <c r="B30" s="15">
        <v>45386</v>
      </c>
      <c r="C30" s="14" t="s">
        <v>74</v>
      </c>
      <c r="D30" s="9" t="s">
        <v>75</v>
      </c>
      <c r="E30" s="14" t="s">
        <v>41</v>
      </c>
      <c r="F30" s="9" t="s">
        <v>42</v>
      </c>
      <c r="G30" s="16">
        <v>1000</v>
      </c>
      <c r="H30" s="14">
        <v>3.6</v>
      </c>
      <c r="I30" s="17">
        <v>4.5</v>
      </c>
      <c r="J30" s="18">
        <v>0.2</v>
      </c>
      <c r="K30" s="19">
        <f t="shared" si="0"/>
        <v>3600</v>
      </c>
    </row>
    <row r="31" spans="1:11" ht="1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</sheetData>
  <mergeCells count="1">
    <mergeCell ref="A31:K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2" customWidth="1"/>
    <col min="2" max="2" width="30" customWidth="1"/>
    <col min="3" max="3" width="8" customWidth="1"/>
    <col min="4" max="7" width="18" customWidth="1"/>
    <col min="8" max="9" width="16" customWidth="1"/>
  </cols>
  <sheetData>
    <row r="1" spans="1:9" ht="15" customHeight="1" x14ac:dyDescent="0.3">
      <c r="A1" s="1" t="s">
        <v>0</v>
      </c>
      <c r="B1" s="1" t="s">
        <v>1</v>
      </c>
      <c r="C1" s="1" t="s">
        <v>3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ht="15" customHeight="1" x14ac:dyDescent="0.3">
      <c r="A2" s="14" t="s">
        <v>10</v>
      </c>
      <c r="B2" s="9" t="s">
        <v>11</v>
      </c>
      <c r="C2" s="19" t="s">
        <v>13</v>
      </c>
      <c r="D2" s="17">
        <v>0.8</v>
      </c>
      <c r="E2" s="14">
        <v>0.78</v>
      </c>
      <c r="F2" s="14">
        <v>0.82</v>
      </c>
      <c r="G2" s="14">
        <v>0.75</v>
      </c>
      <c r="H2" s="19">
        <f t="shared" ref="H2:H9" si="0">MIN(E2,F2,G2)</f>
        <v>0.75</v>
      </c>
      <c r="I2" s="19">
        <f t="shared" ref="I2:I9" si="1">MAX(E2,F2,G2)</f>
        <v>0.82</v>
      </c>
    </row>
    <row r="3" spans="1:9" ht="15" customHeight="1" x14ac:dyDescent="0.3">
      <c r="A3" s="20" t="s">
        <v>15</v>
      </c>
      <c r="B3" s="3" t="s">
        <v>16</v>
      </c>
      <c r="C3" s="25" t="s">
        <v>18</v>
      </c>
      <c r="D3" s="23">
        <v>18.5</v>
      </c>
      <c r="E3" s="20">
        <v>17.8</v>
      </c>
      <c r="F3" s="20">
        <v>19</v>
      </c>
      <c r="G3" s="20">
        <v>18.2</v>
      </c>
      <c r="H3" s="25">
        <f t="shared" si="0"/>
        <v>17.8</v>
      </c>
      <c r="I3" s="25">
        <f t="shared" si="1"/>
        <v>19</v>
      </c>
    </row>
    <row r="4" spans="1:9" ht="15" customHeight="1" x14ac:dyDescent="0.3">
      <c r="A4" s="14" t="s">
        <v>20</v>
      </c>
      <c r="B4" s="9" t="s">
        <v>21</v>
      </c>
      <c r="C4" s="19" t="s">
        <v>23</v>
      </c>
      <c r="D4" s="17">
        <v>85</v>
      </c>
      <c r="E4" s="14">
        <v>82</v>
      </c>
      <c r="F4" s="14">
        <v>88</v>
      </c>
      <c r="G4" s="14">
        <v>80</v>
      </c>
      <c r="H4" s="19">
        <f t="shared" si="0"/>
        <v>80</v>
      </c>
      <c r="I4" s="19">
        <f t="shared" si="1"/>
        <v>88</v>
      </c>
    </row>
    <row r="5" spans="1:9" ht="15" customHeight="1" x14ac:dyDescent="0.3">
      <c r="A5" s="20" t="s">
        <v>25</v>
      </c>
      <c r="B5" s="3" t="s">
        <v>26</v>
      </c>
      <c r="C5" s="25" t="s">
        <v>28</v>
      </c>
      <c r="D5" s="23">
        <v>22</v>
      </c>
      <c r="E5" s="20">
        <v>21.5</v>
      </c>
      <c r="F5" s="20">
        <v>22.5</v>
      </c>
      <c r="G5" s="20">
        <v>21</v>
      </c>
      <c r="H5" s="25">
        <f t="shared" si="0"/>
        <v>21</v>
      </c>
      <c r="I5" s="25">
        <f t="shared" si="1"/>
        <v>22.5</v>
      </c>
    </row>
    <row r="6" spans="1:9" ht="15" customHeight="1" x14ac:dyDescent="0.3">
      <c r="A6" s="14" t="s">
        <v>29</v>
      </c>
      <c r="B6" s="9" t="s">
        <v>30</v>
      </c>
      <c r="C6" s="19" t="s">
        <v>13</v>
      </c>
      <c r="D6" s="17">
        <v>12.5</v>
      </c>
      <c r="E6" s="14">
        <v>12</v>
      </c>
      <c r="F6" s="14">
        <v>13</v>
      </c>
      <c r="G6" s="14">
        <v>11.8</v>
      </c>
      <c r="H6" s="19">
        <f t="shared" si="0"/>
        <v>11.8</v>
      </c>
      <c r="I6" s="19">
        <f t="shared" si="1"/>
        <v>13</v>
      </c>
    </row>
    <row r="7" spans="1:9" ht="15" customHeight="1" x14ac:dyDescent="0.3">
      <c r="A7" s="20" t="s">
        <v>32</v>
      </c>
      <c r="B7" s="3" t="s">
        <v>33</v>
      </c>
      <c r="C7" s="25" t="s">
        <v>35</v>
      </c>
      <c r="D7" s="23">
        <v>68</v>
      </c>
      <c r="E7" s="20">
        <v>65</v>
      </c>
      <c r="F7" s="20">
        <v>70</v>
      </c>
      <c r="G7" s="20">
        <v>64</v>
      </c>
      <c r="H7" s="25">
        <f t="shared" si="0"/>
        <v>64</v>
      </c>
      <c r="I7" s="25">
        <f t="shared" si="1"/>
        <v>70</v>
      </c>
    </row>
    <row r="8" spans="1:9" ht="15" customHeight="1" x14ac:dyDescent="0.3">
      <c r="A8" s="14" t="s">
        <v>36</v>
      </c>
      <c r="B8" s="9" t="s">
        <v>37</v>
      </c>
      <c r="C8" s="19" t="s">
        <v>39</v>
      </c>
      <c r="D8" s="17">
        <v>55</v>
      </c>
      <c r="E8" s="14">
        <v>53.5</v>
      </c>
      <c r="F8" s="14">
        <v>56</v>
      </c>
      <c r="G8" s="14">
        <v>52</v>
      </c>
      <c r="H8" s="19">
        <f t="shared" si="0"/>
        <v>52</v>
      </c>
      <c r="I8" s="19">
        <f t="shared" si="1"/>
        <v>56</v>
      </c>
    </row>
    <row r="9" spans="1:9" ht="15" customHeight="1" x14ac:dyDescent="0.3">
      <c r="A9" s="20" t="s">
        <v>41</v>
      </c>
      <c r="B9" s="3" t="s">
        <v>42</v>
      </c>
      <c r="C9" s="25" t="s">
        <v>43</v>
      </c>
      <c r="D9" s="23">
        <v>4.5</v>
      </c>
      <c r="E9" s="20">
        <v>4.3</v>
      </c>
      <c r="F9" s="20">
        <v>4.7</v>
      </c>
      <c r="G9" s="20">
        <v>4.2</v>
      </c>
      <c r="H9" s="25">
        <f t="shared" si="0"/>
        <v>4.2</v>
      </c>
      <c r="I9" s="25">
        <f t="shared" si="1"/>
        <v>4.7</v>
      </c>
    </row>
    <row r="11" spans="1:9" ht="1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</row>
  </sheetData>
  <mergeCells count="1"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2" customWidth="1"/>
    <col min="2" max="2" width="25" customWidth="1"/>
    <col min="3" max="3" width="13" customWidth="1"/>
    <col min="4" max="4" width="22" customWidth="1"/>
    <col min="5" max="6" width="18" customWidth="1"/>
    <col min="7" max="7" width="22" customWidth="1"/>
    <col min="8" max="8" width="24" customWidth="1"/>
    <col min="9" max="9" width="20" customWidth="1"/>
    <col min="10" max="10" width="16" customWidth="1"/>
    <col min="11" max="11" width="18" customWidth="1"/>
  </cols>
  <sheetData>
    <row r="1" spans="1:11" ht="23.25" customHeight="1" x14ac:dyDescent="0.3">
      <c r="A1" s="1" t="s">
        <v>46</v>
      </c>
      <c r="B1" s="1" t="s">
        <v>47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 ht="15" customHeight="1" x14ac:dyDescent="0.3">
      <c r="A2" s="14" t="s">
        <v>53</v>
      </c>
      <c r="B2" s="9" t="s">
        <v>54</v>
      </c>
      <c r="C2" s="19" t="s">
        <v>110</v>
      </c>
      <c r="D2" s="14">
        <v>18500</v>
      </c>
      <c r="E2" s="16">
        <v>14</v>
      </c>
      <c r="F2" s="19" t="s">
        <v>111</v>
      </c>
      <c r="G2" s="9" t="s">
        <v>12</v>
      </c>
      <c r="H2" s="26">
        <v>0.1</v>
      </c>
      <c r="I2" s="26">
        <v>0.95</v>
      </c>
      <c r="J2" s="14">
        <v>50000</v>
      </c>
      <c r="K2" s="19" t="s">
        <v>112</v>
      </c>
    </row>
    <row r="3" spans="1:11" ht="15" customHeight="1" x14ac:dyDescent="0.3">
      <c r="A3" s="20" t="s">
        <v>56</v>
      </c>
      <c r="B3" s="3" t="s">
        <v>57</v>
      </c>
      <c r="C3" s="25" t="s">
        <v>113</v>
      </c>
      <c r="D3" s="20">
        <v>42000</v>
      </c>
      <c r="E3" s="22">
        <v>22</v>
      </c>
      <c r="F3" s="25" t="s">
        <v>114</v>
      </c>
      <c r="G3" s="3" t="s">
        <v>17</v>
      </c>
      <c r="H3" s="27">
        <v>0.08</v>
      </c>
      <c r="I3" s="27">
        <v>0.98</v>
      </c>
      <c r="J3" s="20">
        <v>80000</v>
      </c>
      <c r="K3" s="25" t="s">
        <v>115</v>
      </c>
    </row>
    <row r="4" spans="1:11" ht="15" customHeight="1" x14ac:dyDescent="0.3">
      <c r="A4" s="14" t="s">
        <v>59</v>
      </c>
      <c r="B4" s="9" t="s">
        <v>60</v>
      </c>
      <c r="C4" s="19" t="s">
        <v>110</v>
      </c>
      <c r="D4" s="14">
        <v>12000</v>
      </c>
      <c r="E4" s="16">
        <v>9</v>
      </c>
      <c r="F4" s="19" t="s">
        <v>116</v>
      </c>
      <c r="G4" s="9" t="s">
        <v>27</v>
      </c>
      <c r="H4" s="26">
        <v>0.15</v>
      </c>
      <c r="I4" s="26">
        <v>0.88</v>
      </c>
      <c r="J4" s="14">
        <v>30000</v>
      </c>
      <c r="K4" s="19" t="s">
        <v>112</v>
      </c>
    </row>
    <row r="5" spans="1:11" ht="15" customHeight="1" x14ac:dyDescent="0.3">
      <c r="A5" s="20" t="s">
        <v>62</v>
      </c>
      <c r="B5" s="3" t="s">
        <v>63</v>
      </c>
      <c r="C5" s="25" t="s">
        <v>117</v>
      </c>
      <c r="D5" s="20">
        <v>35000</v>
      </c>
      <c r="E5" s="22">
        <v>18</v>
      </c>
      <c r="F5" s="25" t="s">
        <v>111</v>
      </c>
      <c r="G5" s="3" t="s">
        <v>38</v>
      </c>
      <c r="H5" s="27">
        <v>0.12</v>
      </c>
      <c r="I5" s="27">
        <v>0.97</v>
      </c>
      <c r="J5" s="20">
        <v>60000</v>
      </c>
      <c r="K5" s="25" t="s">
        <v>118</v>
      </c>
    </row>
    <row r="6" spans="1:11" ht="15" customHeight="1" x14ac:dyDescent="0.3">
      <c r="A6" s="14" t="s">
        <v>65</v>
      </c>
      <c r="B6" s="9" t="s">
        <v>66</v>
      </c>
      <c r="C6" s="19" t="s">
        <v>110</v>
      </c>
      <c r="D6" s="14">
        <v>9500</v>
      </c>
      <c r="E6" s="16">
        <v>7</v>
      </c>
      <c r="F6" s="19" t="s">
        <v>116</v>
      </c>
      <c r="G6" s="9" t="s">
        <v>22</v>
      </c>
      <c r="H6" s="26">
        <v>0.14000000000000001</v>
      </c>
      <c r="I6" s="26">
        <v>0.85</v>
      </c>
      <c r="J6" s="14">
        <v>25000</v>
      </c>
      <c r="K6" s="19" t="s">
        <v>115</v>
      </c>
    </row>
    <row r="7" spans="1:11" ht="15" customHeight="1" x14ac:dyDescent="0.3">
      <c r="A7" s="20" t="s">
        <v>71</v>
      </c>
      <c r="B7" s="3" t="s">
        <v>72</v>
      </c>
      <c r="C7" s="25" t="s">
        <v>119</v>
      </c>
      <c r="D7" s="20">
        <v>6500</v>
      </c>
      <c r="E7" s="22">
        <v>5</v>
      </c>
      <c r="F7" s="25" t="s">
        <v>116</v>
      </c>
      <c r="G7" s="3" t="s">
        <v>34</v>
      </c>
      <c r="H7" s="27">
        <v>0.18</v>
      </c>
      <c r="I7" s="27">
        <v>0.8</v>
      </c>
      <c r="J7" s="20">
        <v>15000</v>
      </c>
      <c r="K7" s="25" t="s">
        <v>118</v>
      </c>
    </row>
    <row r="8" spans="1:11" ht="15" customHeight="1" x14ac:dyDescent="0.3">
      <c r="A8" s="14" t="s">
        <v>74</v>
      </c>
      <c r="B8" s="9" t="s">
        <v>75</v>
      </c>
      <c r="C8" s="19" t="s">
        <v>117</v>
      </c>
      <c r="D8" s="14">
        <v>55000</v>
      </c>
      <c r="E8" s="16">
        <v>25</v>
      </c>
      <c r="F8" s="19" t="s">
        <v>114</v>
      </c>
      <c r="G8" s="9" t="s">
        <v>27</v>
      </c>
      <c r="H8" s="26">
        <v>7.0000000000000007E-2</v>
      </c>
      <c r="I8" s="26">
        <v>0.99</v>
      </c>
      <c r="J8" s="14">
        <v>100000</v>
      </c>
      <c r="K8" s="19" t="s">
        <v>112</v>
      </c>
    </row>
    <row r="10" spans="1:11" ht="1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</sheetData>
  <mergeCells count="1"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Sheet</vt:lpstr>
      <vt:lpstr>Sales History</vt:lpstr>
      <vt:lpstr>Competitor Pricing</vt:lpstr>
      <vt:lpstr>CRM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JANSON HO SWEE SHENG</cp:lastModifiedBy>
  <cp:revision>0</cp:revision>
  <dcterms:created xsi:type="dcterms:W3CDTF">2026-03-08T03:20:44Z</dcterms:created>
  <dcterms:modified xsi:type="dcterms:W3CDTF">2026-03-08T03:54:49Z</dcterms:modified>
  <dc:language>en-US</dc:language>
</cp:coreProperties>
</file>